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auli\Documents\ANALISIS DE DATOS\MYSQL\Proyecto 1\social-media-data-analytics-main\"/>
    </mc:Choice>
  </mc:AlternateContent>
  <xr:revisionPtr revIDLastSave="0" documentId="13_ncr:1_{75E631C1-5509-4B04-BB4F-9D711F77B4A7}" xr6:coauthVersionLast="47" xr6:coauthVersionMax="47" xr10:uidLastSave="{00000000-0000-0000-0000-000000000000}"/>
  <bookViews>
    <workbookView xWindow="-108" yWindow="-108" windowWidth="23256" windowHeight="12456" xr2:uid="{9F0869B0-E0EB-4B35-A4D1-179E21AF3EBB}"/>
  </bookViews>
  <sheets>
    <sheet name="Gráficas" sheetId="7" r:id="rId1"/>
    <sheet name="gráfica A" sheetId="6" state="hidden" r:id="rId2"/>
    <sheet name="consulta A" sheetId="2" r:id="rId3"/>
    <sheet name="Hoja11" sheetId="11" state="hidden" r:id="rId4"/>
    <sheet name="consulta B" sheetId="3" r:id="rId5"/>
    <sheet name="grafica consulta C" sheetId="12" state="hidden" r:id="rId6"/>
    <sheet name="consulta C" sheetId="4" r:id="rId7"/>
    <sheet name="grafica D" sheetId="9" state="hidden" r:id="rId8"/>
    <sheet name="consulta D" sheetId="8" r:id="rId9"/>
  </sheets>
  <calcPr calcId="191029"/>
  <pivotCaches>
    <pivotCache cacheId="0" r:id="rId10"/>
    <pivotCache cacheId="1" r:id="rId11"/>
    <pivotCache cacheId="2" r:id="rId12"/>
    <pivotCache cacheId="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<sst xmlns="http://schemas.openxmlformats.org/spreadsheetml/2006/main" count="105" uniqueCount="41">
  <si>
    <t>Category</t>
  </si>
  <si>
    <t>Total_Score</t>
  </si>
  <si>
    <t>animals</t>
  </si>
  <si>
    <t>science</t>
  </si>
  <si>
    <t>healthy eating</t>
  </si>
  <si>
    <t>technology</t>
  </si>
  <si>
    <t>food</t>
  </si>
  <si>
    <t>culture</t>
  </si>
  <si>
    <t>travel</t>
  </si>
  <si>
    <t>cooking</t>
  </si>
  <si>
    <t>soccer</t>
  </si>
  <si>
    <t>education</t>
  </si>
  <si>
    <t>fitness</t>
  </si>
  <si>
    <t>studying</t>
  </si>
  <si>
    <t>dogs</t>
  </si>
  <si>
    <t>tennis</t>
  </si>
  <si>
    <t>veganism</t>
  </si>
  <si>
    <t>public speaking</t>
  </si>
  <si>
    <t>Primary_Interest</t>
  </si>
  <si>
    <t>Total_Users</t>
  </si>
  <si>
    <t>Content_Type</t>
  </si>
  <si>
    <t>Number_of_Reactions</t>
  </si>
  <si>
    <t>photo</t>
  </si>
  <si>
    <t>video</t>
  </si>
  <si>
    <t>GIF</t>
  </si>
  <si>
    <t>audio</t>
  </si>
  <si>
    <t>Etiquetas de fila</t>
  </si>
  <si>
    <t>Total general</t>
  </si>
  <si>
    <t>Suma de Total_Score</t>
  </si>
  <si>
    <t>Sentiment</t>
  </si>
  <si>
    <t>Total_Reactions</t>
  </si>
  <si>
    <t>positive</t>
  </si>
  <si>
    <t>neutral</t>
  </si>
  <si>
    <t>negative</t>
  </si>
  <si>
    <t>Promedio de Total_Reactions</t>
  </si>
  <si>
    <t>La salud de la comunidad es robusta, con un 56% de interacciones positivas. Aunque existe un 31% de reacciones negativas, el análisis previo de 'Scores' demostró que estas tienen un impacto mínimo en el engagement total, lo que confirma que el contenido de valor (positive) es el motor real de la plataforma.</t>
  </si>
  <si>
    <t>Aunque 'animals' es el líder absoluto, hay un grupo muy sólido (science, healthy eating, technology, food) que tiene niveles de compromiso muy similares entre los 60,000 y 65,000 puntos. Esto indica que la plataforma tiene una audiencia muy interesada en temas de estilo de vida y conocimiento.</t>
  </si>
  <si>
    <t>Suma de Total_Users</t>
  </si>
  <si>
    <r>
      <t>Los usuarios tienden a declarar intereses "aspiracionales" o de nicho en sus perfiles, pero interactúan con mayor pasión con contenidos de entretenimiento universal (animales). </t>
    </r>
    <r>
      <rPr>
        <b/>
        <sz val="10"/>
        <rFont val="Arial"/>
        <family val="2"/>
      </rPr>
      <t>Estrategia recomendada:</t>
    </r>
    <r>
      <rPr>
        <sz val="10"/>
        <rFont val="Arial"/>
        <family val="2"/>
      </rPr>
      <t> No basar el 100% de la publicidad en los intereses del perfil, sino en el comportamiento real observado.</t>
    </r>
  </si>
  <si>
    <t>Social Media Strategy: Análisis Integral de Engagement y Usuarios</t>
  </si>
  <si>
    <t>Equilibrio Operativo: Existe una distribución muy uniforme entre los 4 formatos principales. Las fotos (241,090 puntos) lideran ligeramente, seguidas muy de cerca por los vídeos. 
Versatilidad de la Audiencia: El hecho de que el formato audio y los GIFs tengan puntuaciones tan cercanas a los formatos visuales tradicionales sugiere que la audiencia es altamente receptiva a contenidos variados. 
Recomendación: Se debe mantener una estrategia de contenido híbrida, ya que no hay un formato que "canibalice" al resto. La plataforma es apta para cualquier tipo de narrativa multimedia.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</si>
</sst>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b/>
      <sz val="10"/>
      <name val="Arial"/>
      <family val="2"/>
    </font>
    <font>
      <sz val="10"/>
      <name val="Arial"/>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2" fillId="0" borderId="0" xfId="0" applyFont="1" applyAlignment="1">
      <alignment horizontal="left" vertical="center" wrapText="1" indent="1"/>
    </xf>
    <xf numFmtId="0" fontId="0" fillId="0" borderId="0" xfId="0" applyFill="1"/>
    <xf numFmtId="0" fontId="0" fillId="0" borderId="0" xfId="0" applyAlignment="1">
      <alignment horizontal="left" vertical="top" wrapText="1"/>
    </xf>
    <xf numFmtId="0" fontId="2" fillId="0" borderId="0" xfId="0" applyFont="1" applyAlignment="1">
      <alignment horizontal="left"/>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[Gráficas.xlsx]gráfica A!TablaDinámica2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0" u="none" strike="noStrike" baseline="0">
                <a:effectLst/>
              </a:rPr>
              <a:t>Ranking de Engagement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barChart>
        <c:barDir val="col"/>
        <c:grouping val="clustered"/>
        <c:varyColors val="0"/>
        <c:ser>
          <c:idx val="0"/>
          <c:order val="0"/>
          <c:tx>
            <c:strRef>
              <c:f>'gráfica A'!$B$1</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CDF3-4A31-B7D2-FA06696C7A63}"/>
              </c:ext>
            </c:extLst>
          </c:dPt>
          <c:cat>
            <c:strRef>
              <c:f>'gráfica A'!$A$2:$A$18</c:f>
              <c:strCache>
                <c:ptCount val="16"/>
                <c:pt idx="0">
                  <c:v>animals</c:v>
                </c:pt>
                <c:pt idx="1">
                  <c:v>science</c:v>
                </c:pt>
                <c:pt idx="2">
                  <c:v>healthy eating</c:v>
                </c:pt>
                <c:pt idx="3">
                  <c:v>technology</c:v>
                </c:pt>
                <c:pt idx="4">
                  <c:v>food</c:v>
                </c:pt>
                <c:pt idx="5">
                  <c:v>culture</c:v>
                </c:pt>
                <c:pt idx="6">
                  <c:v>travel</c:v>
                </c:pt>
                <c:pt idx="7">
                  <c:v>cooking</c:v>
                </c:pt>
                <c:pt idx="8">
                  <c:v>soccer</c:v>
                </c:pt>
                <c:pt idx="9">
                  <c:v>education</c:v>
                </c:pt>
                <c:pt idx="10">
                  <c:v>fitness</c:v>
                </c:pt>
                <c:pt idx="11">
                  <c:v>studying</c:v>
                </c:pt>
                <c:pt idx="12">
                  <c:v>dogs</c:v>
                </c:pt>
                <c:pt idx="13">
                  <c:v>tennis</c:v>
                </c:pt>
                <c:pt idx="14">
                  <c:v>veganism</c:v>
                </c:pt>
                <c:pt idx="15">
                  <c:v>public speaking</c:v>
                </c:pt>
              </c:strCache>
            </c:strRef>
          </c:cat>
          <c:val>
            <c:numRef>
              <c:f>'gráfica A'!$B$2:$B$18</c:f>
              <c:numCache>
                <c:formatCode>General</c:formatCode>
                <c:ptCount val="16"/>
                <c:pt idx="0">
                  <c:v>68624</c:v>
                </c:pt>
                <c:pt idx="1">
                  <c:v>65405</c:v>
                </c:pt>
                <c:pt idx="2">
                  <c:v>63138</c:v>
                </c:pt>
                <c:pt idx="3">
                  <c:v>63035</c:v>
                </c:pt>
                <c:pt idx="4">
                  <c:v>61598</c:v>
                </c:pt>
                <c:pt idx="5">
                  <c:v>60663</c:v>
                </c:pt>
                <c:pt idx="6">
                  <c:v>59358</c:v>
                </c:pt>
                <c:pt idx="7">
                  <c:v>59174</c:v>
                </c:pt>
                <c:pt idx="8">
                  <c:v>53216</c:v>
                </c:pt>
                <c:pt idx="9">
                  <c:v>52759</c:v>
                </c:pt>
                <c:pt idx="10">
                  <c:v>50835</c:v>
                </c:pt>
                <c:pt idx="11">
                  <c:v>49442</c:v>
                </c:pt>
                <c:pt idx="12">
                  <c:v>48398</c:v>
                </c:pt>
                <c:pt idx="13">
                  <c:v>46185</c:v>
                </c:pt>
                <c:pt idx="14">
                  <c:v>45901</c:v>
                </c:pt>
                <c:pt idx="15">
                  <c:v>45751</c:v>
                </c:pt>
              </c:numCache>
            </c:numRef>
          </c:val>
          <c:extLst>
            <c:ext xmlns:c16="http://schemas.microsoft.com/office/drawing/2014/chart" uri="{C3380CC4-5D6E-409C-BE32-E72D297353CC}">
              <c16:uniqueId val="{00000002-CDF3-4A31-B7D2-FA06696C7A63}"/>
            </c:ext>
          </c:extLst>
        </c:ser>
        <c:dLbls>
          <c:showLegendKey val="0"/>
          <c:showVal val="0"/>
          <c:showCatName val="0"/>
          <c:showSerName val="0"/>
          <c:showPercent val="0"/>
          <c:showBubbleSize val="0"/>
        </c:dLbls>
        <c:gapWidth val="219"/>
        <c:overlap val="-27"/>
        <c:axId val="390982463"/>
        <c:axId val="390976223"/>
      </c:barChart>
      <c:catAx>
        <c:axId val="39098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0976223"/>
        <c:crosses val="autoZero"/>
        <c:auto val="1"/>
        <c:lblAlgn val="ctr"/>
        <c:lblOffset val="100"/>
        <c:noMultiLvlLbl val="0"/>
      </c:catAx>
      <c:valAx>
        <c:axId val="3909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098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[Gráficas.xlsx]Hoja11!TablaDinámica5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0" u="none" strike="noStrike" baseline="0">
                <a:effectLst/>
              </a:rPr>
              <a:t>Intereses Declarados por los Usuarios (Perfiles)</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pivotFmt>
      <c:pivotFmt>
        <c:idx val="1"/>
        <c:spPr>
          <a:solidFill>
            <a:schemeClr val="accent2"/>
          </a:solidFill>
          <a:ln>
            <a:solidFill>
              <a:schemeClr val="accent2"/>
            </a:solid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accent2"/>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solidFill>
              <a:schemeClr val="accent2"/>
            </a:solidFill>
          </a:ln>
          <a:effectLst/>
        </c:spPr>
      </c:pivotFmt>
    </c:pivotFmts>
    <c:plotArea>
      <c:layout/>
      <c:barChart>
        <c:barDir val="bar"/>
        <c:grouping val="clustered"/>
        <c:varyColors val="0"/>
        <c:ser>
          <c:idx val="0"/>
          <c:order val="0"/>
          <c:tx>
            <c:strRef>
              <c:f>Hoja11!$B$1</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01-2DDD-45DE-8E29-FEC17CDCC5B2}"/>
              </c:ext>
            </c:extLst>
          </c:dPt>
          <c:cat>
            <c:strRef>
              <c:f>Hoja11!$A$2:$A$18</c:f>
              <c:strCache>
                <c:ptCount val="16"/>
                <c:pt idx="0">
                  <c:v>food</c:v>
                </c:pt>
                <c:pt idx="1">
                  <c:v>soccer</c:v>
                </c:pt>
                <c:pt idx="2">
                  <c:v>public speaking</c:v>
                </c:pt>
                <c:pt idx="3">
                  <c:v>animals</c:v>
                </c:pt>
                <c:pt idx="4">
                  <c:v>cooking</c:v>
                </c:pt>
                <c:pt idx="5">
                  <c:v>dogs</c:v>
                </c:pt>
                <c:pt idx="6">
                  <c:v>education</c:v>
                </c:pt>
                <c:pt idx="7">
                  <c:v>science</c:v>
                </c:pt>
                <c:pt idx="8">
                  <c:v>veganism</c:v>
                </c:pt>
                <c:pt idx="9">
                  <c:v>studying</c:v>
                </c:pt>
                <c:pt idx="10">
                  <c:v>healthy eating</c:v>
                </c:pt>
                <c:pt idx="11">
                  <c:v>travel</c:v>
                </c:pt>
                <c:pt idx="12">
                  <c:v>tennis</c:v>
                </c:pt>
                <c:pt idx="13">
                  <c:v>fitness</c:v>
                </c:pt>
                <c:pt idx="14">
                  <c:v>culture</c:v>
                </c:pt>
                <c:pt idx="15">
                  <c:v>technology</c:v>
                </c:pt>
              </c:strCache>
            </c:strRef>
          </c:cat>
          <c:val>
            <c:numRef>
              <c:f>Hoja11!$B$2:$B$18</c:f>
              <c:numCache>
                <c:formatCode>General</c:formatCode>
                <c:ptCount val="16"/>
                <c:pt idx="0">
                  <c:v>43</c:v>
                </c:pt>
                <c:pt idx="1">
                  <c:v>39</c:v>
                </c:pt>
                <c:pt idx="2">
                  <c:v>35</c:v>
                </c:pt>
                <c:pt idx="3">
                  <c:v>35</c:v>
                </c:pt>
                <c:pt idx="4">
                  <c:v>33</c:v>
                </c:pt>
                <c:pt idx="5">
                  <c:v>33</c:v>
                </c:pt>
                <c:pt idx="6">
                  <c:v>32</c:v>
                </c:pt>
                <c:pt idx="7">
                  <c:v>31</c:v>
                </c:pt>
                <c:pt idx="8">
                  <c:v>30</c:v>
                </c:pt>
                <c:pt idx="9">
                  <c:v>29</c:v>
                </c:pt>
                <c:pt idx="10">
                  <c:v>29</c:v>
                </c:pt>
                <c:pt idx="11">
                  <c:v>27</c:v>
                </c:pt>
                <c:pt idx="12">
                  <c:v>27</c:v>
                </c:pt>
                <c:pt idx="13">
                  <c:v>25</c:v>
                </c:pt>
                <c:pt idx="14">
                  <c:v>22</c:v>
                </c:pt>
                <c:pt idx="15">
                  <c:v>21</c:v>
                </c:pt>
              </c:numCache>
            </c:numRef>
          </c:val>
          <c:extLst>
            <c:ext xmlns:c16="http://schemas.microsoft.com/office/drawing/2014/chart" uri="{C3380CC4-5D6E-409C-BE32-E72D297353CC}">
              <c16:uniqueId val="{00000002-2DDD-45DE-8E29-FEC17CDCC5B2}"/>
            </c:ext>
          </c:extLst>
        </c:ser>
        <c:dLbls>
          <c:showLegendKey val="0"/>
          <c:showVal val="0"/>
          <c:showCatName val="0"/>
          <c:showSerName val="0"/>
          <c:showPercent val="0"/>
          <c:showBubbleSize val="0"/>
        </c:dLbls>
        <c:gapWidth val="219"/>
        <c:axId val="551563663"/>
        <c:axId val="551564911"/>
      </c:barChart>
      <c:catAx>
        <c:axId val="55156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1564911"/>
        <c:crosses val="autoZero"/>
        <c:auto val="1"/>
        <c:lblAlgn val="ctr"/>
        <c:lblOffset val="100"/>
        <c:noMultiLvlLbl val="0"/>
      </c:catAx>
      <c:valAx>
        <c:axId val="551564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156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[Gráficas.xlsx]grafica D!TablaDinámica3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0" u="none" strike="noStrike" baseline="0">
                <a:effectLst/>
              </a:rPr>
              <a:t>Distribución de Sentimiento de las Reacciones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'grafica D'!$B$1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EE9-402A-A809-F3B8EDACE44A}"/>
              </c:ext>
            </c:extLst>
          </c:dPt>
          <c:dPt>
            <c:idx val="1"/>
            <c:bubble3D val="0"/>
            <c:spPr>
              <a:solidFill>
                <a:schemeClr val="accent2"/>
              </a:solidFill>
              <a:ln>
                <a:noFill/>
              </a:ln>
              <a:effectLst/>
            </c:spPr>
            <c:extLst>
              <c:ext xmlns:c16="http://schemas.microsoft.com/office/drawing/2014/chart" uri="{C3380CC4-5D6E-409C-BE32-E72D297353CC}">
                <c16:uniqueId val="{00000003-5EE9-402A-A809-F3B8EDACE44A}"/>
              </c:ext>
            </c:extLst>
          </c:dPt>
          <c:dPt>
            <c:idx val="2"/>
            <c:bubble3D val="0"/>
            <c:spPr>
              <a:solidFill>
                <a:schemeClr val="accent3"/>
              </a:solidFill>
              <a:ln>
                <a:noFill/>
              </a:ln>
              <a:effectLst/>
            </c:spPr>
            <c:extLst>
              <c:ext xmlns:c16="http://schemas.microsoft.com/office/drawing/2014/chart" uri="{C3380CC4-5D6E-409C-BE32-E72D297353CC}">
                <c16:uniqueId val="{00000005-5EE9-402A-A809-F3B8EDACE4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'grafica D'!$A$2:$A$5</c:f>
              <c:strCache>
                <c:ptCount val="3"/>
                <c:pt idx="0">
                  <c:v>negative</c:v>
                </c:pt>
                <c:pt idx="1">
                  <c:v>neutral</c:v>
                </c:pt>
                <c:pt idx="2">
                  <c:v>positive</c:v>
                </c:pt>
              </c:strCache>
            </c:strRef>
          </c:cat>
          <c:val>
            <c:numRef>
              <c:f>'grafica D'!$B$2:$B$5</c:f>
              <c:numCache>
                <c:formatCode>General</c:formatCode>
                <c:ptCount val="3"/>
                <c:pt idx="0">
                  <c:v>7037</c:v>
                </c:pt>
                <c:pt idx="1">
                  <c:v>2823</c:v>
                </c:pt>
                <c:pt idx="2">
                  <c:v>12674</c:v>
                </c:pt>
              </c:numCache>
            </c:numRef>
          </c:val>
          <c:extLst>
            <c:ext xmlns:c16="http://schemas.microsoft.com/office/drawing/2014/chart" uri="{C3380CC4-5D6E-409C-BE32-E72D297353CC}">
              <c16:uniqueId val="{00000006-5EE9-402A-A809-F3B8EDACE4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[Gráficas.xlsx]grafica consulta C!TablaDinámica6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0" u="none" strike="noStrike" baseline="0">
                <a:effectLst/>
              </a:rPr>
              <a:t>Engagement por Tipo de Contenido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s>
    <c:plotArea>
      <c:layout/>
      <c:pieChart>
        <c:varyColors val="1"/>
        <c:ser>
          <c:idx val="0"/>
          <c:order val="0"/>
          <c:tx>
            <c:strRef>
              <c:f>'grafica consulta C'!$B$1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731-4A72-8400-21DF3FDE104B}"/>
              </c:ext>
            </c:extLst>
          </c:dPt>
          <c:dPt>
            <c:idx val="1"/>
            <c:bubble3D val="0"/>
            <c:spPr>
              <a:solidFill>
                <a:schemeClr val="accent2"/>
              </a:solidFill>
              <a:ln>
                <a:noFill/>
              </a:ln>
              <a:effectLst/>
            </c:spPr>
            <c:extLst>
              <c:ext xmlns:c16="http://schemas.microsoft.com/office/drawing/2014/chart" uri="{C3380CC4-5D6E-409C-BE32-E72D297353CC}">
                <c16:uniqueId val="{00000003-E731-4A72-8400-21DF3FDE104B}"/>
              </c:ext>
            </c:extLst>
          </c:dPt>
          <c:dPt>
            <c:idx val="2"/>
            <c:bubble3D val="0"/>
            <c:spPr>
              <a:solidFill>
                <a:schemeClr val="accent3"/>
              </a:solidFill>
              <a:ln>
                <a:noFill/>
              </a:ln>
              <a:effectLst/>
            </c:spPr>
            <c:extLst>
              <c:ext xmlns:c16="http://schemas.microsoft.com/office/drawing/2014/chart" uri="{C3380CC4-5D6E-409C-BE32-E72D297353CC}">
                <c16:uniqueId val="{00000005-E731-4A72-8400-21DF3FDE104B}"/>
              </c:ext>
            </c:extLst>
          </c:dPt>
          <c:dPt>
            <c:idx val="3"/>
            <c:bubble3D val="0"/>
            <c:spPr>
              <a:solidFill>
                <a:schemeClr val="accent4"/>
              </a:solidFill>
              <a:ln>
                <a:noFill/>
              </a:ln>
              <a:effectLst/>
            </c:spPr>
            <c:extLst>
              <c:ext xmlns:c16="http://schemas.microsoft.com/office/drawing/2014/chart" uri="{C3380CC4-5D6E-409C-BE32-E72D297353CC}">
                <c16:uniqueId val="{00000007-E731-4A72-8400-21DF3FDE10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'grafica consulta C'!$A$2:$A$6</c:f>
              <c:strCache>
                <c:ptCount val="4"/>
                <c:pt idx="0">
                  <c:v>audio</c:v>
                </c:pt>
                <c:pt idx="1">
                  <c:v>GIF</c:v>
                </c:pt>
                <c:pt idx="2">
                  <c:v>photo</c:v>
                </c:pt>
                <c:pt idx="3">
                  <c:v>video</c:v>
                </c:pt>
              </c:strCache>
            </c:strRef>
          </c:cat>
          <c:val>
            <c:numRef>
              <c:f>'grafica consulta C'!$B$2:$B$6</c:f>
              <c:numCache>
                <c:formatCode>General</c:formatCode>
                <c:ptCount val="4"/>
                <c:pt idx="0">
                  <c:v>207911</c:v>
                </c:pt>
                <c:pt idx="1">
                  <c:v>218922</c:v>
                </c:pt>
                <c:pt idx="2">
                  <c:v>241090</c:v>
                </c:pt>
                <c:pt idx="3">
                  <c:v>225559</c:v>
                </c:pt>
              </c:numCache>
            </c:numRef>
          </c:val>
          <c:extLst>
            <c:ext xmlns:c16="http://schemas.microsoft.com/office/drawing/2014/chart" uri="{C3380CC4-5D6E-409C-BE32-E72D297353CC}">
              <c16:uniqueId val="{00000008-E731-4A72-8400-21DF3FDE10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6</xdr:col>
      <xdr:colOff>30480</xdr:colOff>
      <xdr:row>13</xdr:row>
      <xdr:rowOff>167640</xdr:rowOff>
    </xdr:to>
    <xdr:graphicFrame macro="">
      <xdr:nvGraphicFramePr>
        <xdr:cNvPr id="2" name="Gráfico 1">
          <a:extLst>
            <a:ext uri="{FF2B5EF4-FFF2-40B4-BE49-F238E27FC236}">
              <a16:creationId xmlns:a16="http://schemas.microsoft.com/office/drawing/2014/main" id="{E8BA6B3F-ABE2-4DEE-8EE3-9955F430F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4033</xdr:rowOff>
    </xdr:from>
    <xdr:to>
      <xdr:col>6</xdr:col>
      <xdr:colOff>0</xdr:colOff>
      <xdr:row>31</xdr:row>
      <xdr:rowOff>15240</xdr:rowOff>
    </xdr:to>
    <xdr:graphicFrame macro="">
      <xdr:nvGraphicFramePr>
        <xdr:cNvPr id="4" name="Gráfico 3">
          <a:extLst>
            <a:ext uri="{FF2B5EF4-FFF2-40B4-BE49-F238E27FC236}">
              <a16:creationId xmlns:a16="http://schemas.microsoft.com/office/drawing/2014/main" id="{1AFF4764-A4C9-4AE4-B08D-8F3E57C38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775063</xdr:colOff>
      <xdr:row>2</xdr:row>
      <xdr:rowOff>15240</xdr:rowOff>
    </xdr:from>
    <xdr:to>
      <xdr:col>13</xdr:col>
      <xdr:colOff>0</xdr:colOff>
      <xdr:row>14</xdr:row>
      <xdr:rowOff>7620</xdr:rowOff>
    </xdr:to>
    <xdr:graphicFrame macro="">
      <xdr:nvGraphicFramePr>
        <xdr:cNvPr id="6" name="Gráfico 5">
          <a:extLst>
            <a:ext uri="{FF2B5EF4-FFF2-40B4-BE49-F238E27FC236}">
              <a16:creationId xmlns:a16="http://schemas.microsoft.com/office/drawing/2014/main" id="{7B180190-563C-4382-AC25-57B312854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762000</xdr:colOff>
      <xdr:row>18</xdr:row>
      <xdr:rowOff>0</xdr:rowOff>
    </xdr:from>
    <xdr:to>
      <xdr:col>13</xdr:col>
      <xdr:colOff>7620</xdr:colOff>
      <xdr:row>31</xdr:row>
      <xdr:rowOff>15240</xdr:rowOff>
    </xdr:to>
    <xdr:graphicFrame macro="">
      <xdr:nvGraphicFramePr>
        <xdr:cNvPr id="7" name="Gráfico 6">
          <a:extLst>
            <a:ext uri="{FF2B5EF4-FFF2-40B4-BE49-F238E27FC236}">
              <a16:creationId xmlns:a16="http://schemas.microsoft.com/office/drawing/2014/main" id="{E5C36015-B08F-46D4-82D4-6658E7A78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Fernandez" refreshedDate="46075.615187847223" createdVersion="7" refreshedVersion="7" minRefreshableVersion="3" recordCount="17" xr:uid="{82F661C0-DFC2-470B-9AA4-1CE7F8BF53C0}">
  <cacheSource type="worksheet">
    <worksheetSource ref="A1:B1048576" sheet="consulta A"/>
  </cacheSource>
  <cacheFields count="2">
    <cacheField name="Category" numFmtId="0">
      <sharedItems containsBlank="1" count="17">
        <s v="animals"/>
        <s v="science"/>
        <s v="healthy eating"/>
        <s v="technology"/>
        <s v="food"/>
        <s v="culture"/>
        <s v="travel"/>
        <s v="cooking"/>
        <s v="soccer"/>
        <s v="education"/>
        <s v="fitness"/>
        <s v="studying"/>
        <s v="dogs"/>
        <s v="tennis"/>
        <s v="veganism"/>
        <s v="public speaking"/>
        <m/>
      </sharedItems>
    </cacheField>
    <cacheField name="Total_Score" numFmtId="0">
      <sharedItems containsString="0" containsBlank="1" containsNumber="1" containsInteger="1" minValue="45751" maxValue="686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Fernandez" refreshedDate="46075.629972106479" createdVersion="7" refreshedVersion="7" minRefreshableVersion="3" recordCount="4" xr:uid="{55F6230C-AEE5-49FE-8821-4862E50FBED2}">
  <cacheSource type="worksheet">
    <worksheetSource ref="A1:C1048576" sheet="consulta D"/>
  </cacheSource>
  <cacheFields count="3">
    <cacheField name="Sentiment" numFmtId="0">
      <sharedItems containsBlank="1" count="4">
        <s v="positive"/>
        <s v="neutral"/>
        <s v="negative"/>
        <m/>
      </sharedItems>
    </cacheField>
    <cacheField name="Total_Reactions" numFmtId="0">
      <sharedItems containsString="0" containsBlank="1" containsNumber="1" containsInteger="1" minValue="2823" maxValue="12674"/>
    </cacheField>
    <cacheField name="Total_Score" numFmtId="0">
      <sharedItems containsString="0" containsBlank="1" containsNumber="1" containsInteger="1" minValue="59148" maxValue="75630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Fernandez" refreshedDate="46089.807977199074" createdVersion="7" refreshedVersion="7" minRefreshableVersion="3" recordCount="17" xr:uid="{011758A6-F056-400C-9F05-566BFCB6F056}">
  <cacheSource type="worksheet">
    <worksheetSource ref="A1:B1048576" sheet="consulta B"/>
  </cacheSource>
  <cacheFields count="2">
    <cacheField name="Primary_Interest" numFmtId="0">
      <sharedItems containsBlank="1" count="17">
        <s v="food"/>
        <s v="soccer"/>
        <s v="public speaking"/>
        <s v="animals"/>
        <s v="cooking"/>
        <s v="dogs"/>
        <s v="education"/>
        <s v="science"/>
        <s v="veganism"/>
        <s v="studying"/>
        <s v="healthy eating"/>
        <s v="tennis"/>
        <s v="travel"/>
        <s v="fitness"/>
        <s v="culture"/>
        <s v="technology"/>
        <m/>
      </sharedItems>
    </cacheField>
    <cacheField name="Total_Users" numFmtId="0">
      <sharedItems containsString="0" containsBlank="1" containsNumber="1" containsInteger="1" minValue="21" maxValue="4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Fernandez" refreshedDate="46095.752217476853" createdVersion="7" refreshedVersion="7" minRefreshableVersion="3" recordCount="5" xr:uid="{F3A9D4AC-C6BC-4BBD-8DD6-06D1D74CC14C}">
  <cacheSource type="worksheet">
    <worksheetSource ref="A1:C1048576" sheet="consulta C"/>
  </cacheSource>
  <cacheFields count="3">
    <cacheField name="Content_Type" numFmtId="0">
      <sharedItems containsBlank="1" count="5">
        <s v="photo"/>
        <s v="video"/>
        <s v="GIF"/>
        <s v="audio"/>
        <m/>
      </sharedItems>
    </cacheField>
    <cacheField name="Total_Score" numFmtId="0">
      <sharedItems containsString="0" containsBlank="1" containsNumber="1" containsInteger="1" minValue="207911" maxValue="241090"/>
    </cacheField>
    <cacheField name="Number_of_Reactions" numFmtId="0">
      <sharedItems containsString="0" containsBlank="1" containsNumber="1" containsInteger="1" minValue="5185" maxValue="604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n v="68624"/>
  </r>
  <r>
    <x v="1"/>
    <n v="65405"/>
  </r>
  <r>
    <x v="2"/>
    <n v="63138"/>
  </r>
  <r>
    <x v="3"/>
    <n v="63035"/>
  </r>
  <r>
    <x v="4"/>
    <n v="61598"/>
  </r>
  <r>
    <x v="5"/>
    <n v="60663"/>
  </r>
  <r>
    <x v="6"/>
    <n v="59358"/>
  </r>
  <r>
    <x v="7"/>
    <n v="59174"/>
  </r>
  <r>
    <x v="8"/>
    <n v="53216"/>
  </r>
  <r>
    <x v="9"/>
    <n v="52759"/>
  </r>
  <r>
    <x v="10"/>
    <n v="50835"/>
  </r>
  <r>
    <x v="11"/>
    <n v="49442"/>
  </r>
  <r>
    <x v="12"/>
    <n v="48398"/>
  </r>
  <r>
    <x v="13"/>
    <n v="46185"/>
  </r>
  <r>
    <x v="14"/>
    <n v="45901"/>
  </r>
  <r>
    <x v="15"/>
    <n v="45751"/>
  </r>
  <r>
    <x v="16"/>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2674"/>
    <n v="756304"/>
  </r>
  <r>
    <x v="1"/>
    <n v="2823"/>
    <n v="78030"/>
  </r>
  <r>
    <x v="2"/>
    <n v="7037"/>
    <n v="59148"/>
  </r>
  <r>
    <x v="3"/>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n v="43"/>
  </r>
  <r>
    <x v="1"/>
    <n v="39"/>
  </r>
  <r>
    <x v="2"/>
    <n v="35"/>
  </r>
  <r>
    <x v="3"/>
    <n v="35"/>
  </r>
  <r>
    <x v="4"/>
    <n v="33"/>
  </r>
  <r>
    <x v="5"/>
    <n v="33"/>
  </r>
  <r>
    <x v="6"/>
    <n v="32"/>
  </r>
  <r>
    <x v="7"/>
    <n v="31"/>
  </r>
  <r>
    <x v="8"/>
    <n v="30"/>
  </r>
  <r>
    <x v="9"/>
    <n v="29"/>
  </r>
  <r>
    <x v="10"/>
    <n v="29"/>
  </r>
  <r>
    <x v="11"/>
    <n v="27"/>
  </r>
  <r>
    <x v="12"/>
    <n v="27"/>
  </r>
  <r>
    <x v="13"/>
    <n v="25"/>
  </r>
  <r>
    <x v="14"/>
    <n v="22"/>
  </r>
  <r>
    <x v="15"/>
    <n v="21"/>
  </r>
  <r>
    <x v="16"/>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41090"/>
    <n v="6043"/>
  </r>
  <r>
    <x v="1"/>
    <n v="225559"/>
    <n v="5728"/>
  </r>
  <r>
    <x v="2"/>
    <n v="218922"/>
    <n v="5578"/>
  </r>
  <r>
    <x v="3"/>
    <n v="207911"/>
    <n v="5185"/>
  </r>
  <r>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EC9224-6E76-48AC-BBBD-947D75DA7C8E}" name="TablaDinámica2"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location ref="A1:B18" firstHeaderRow="1" firstDataRow="1" firstDataCol="1"/>
  <pivotFields count="2">
    <pivotField axis="axisRow" showAll="0" sortType="descending">
      <items count="18">
        <item x="0"/>
        <item x="7"/>
        <item x="5"/>
        <item x="12"/>
        <item x="9"/>
        <item x="10"/>
        <item x="4"/>
        <item x="2"/>
        <item x="15"/>
        <item x="1"/>
        <item x="8"/>
        <item x="11"/>
        <item x="3"/>
        <item x="13"/>
        <item x="6"/>
        <item x="14"/>
        <item h="1" x="16"/>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7">
    <i>
      <x/>
    </i>
    <i>
      <x v="9"/>
    </i>
    <i>
      <x v="7"/>
    </i>
    <i>
      <x v="12"/>
    </i>
    <i>
      <x v="6"/>
    </i>
    <i>
      <x v="2"/>
    </i>
    <i>
      <x v="14"/>
    </i>
    <i>
      <x v="1"/>
    </i>
    <i>
      <x v="10"/>
    </i>
    <i>
      <x v="4"/>
    </i>
    <i>
      <x v="5"/>
    </i>
    <i>
      <x v="11"/>
    </i>
    <i>
      <x v="3"/>
    </i>
    <i>
      <x v="13"/>
    </i>
    <i>
      <x v="15"/>
    </i>
    <i>
      <x v="8"/>
    </i>
    <i t="grand">
      <x/>
    </i>
  </rowItems>
  <colItems count="1">
    <i/>
  </colItems>
  <dataFields count="1">
    <dataField name="Suma de Total_Score" fld="1" baseField="0" baseItem="0"/>
  </dataField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700691-CB5A-4792-9453-DD49677713B3}" name="TablaDinámica5"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location ref="A1:B18" firstHeaderRow="1" firstDataRow="1" firstDataCol="1"/>
  <pivotFields count="2">
    <pivotField axis="axisRow" showAll="0" sortType="descending">
      <items count="18">
        <item x="3"/>
        <item x="4"/>
        <item x="14"/>
        <item x="5"/>
        <item x="6"/>
        <item x="13"/>
        <item x="0"/>
        <item x="10"/>
        <item x="2"/>
        <item x="7"/>
        <item x="1"/>
        <item x="9"/>
        <item x="15"/>
        <item x="11"/>
        <item x="12"/>
        <item x="8"/>
        <item h="1" x="16"/>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7">
    <i>
      <x v="6"/>
    </i>
    <i>
      <x v="10"/>
    </i>
    <i>
      <x v="8"/>
    </i>
    <i>
      <x/>
    </i>
    <i>
      <x v="1"/>
    </i>
    <i>
      <x v="3"/>
    </i>
    <i>
      <x v="4"/>
    </i>
    <i>
      <x v="9"/>
    </i>
    <i>
      <x v="15"/>
    </i>
    <i>
      <x v="11"/>
    </i>
    <i>
      <x v="7"/>
    </i>
    <i>
      <x v="14"/>
    </i>
    <i>
      <x v="13"/>
    </i>
    <i>
      <x v="5"/>
    </i>
    <i>
      <x v="2"/>
    </i>
    <i>
      <x v="12"/>
    </i>
    <i t="grand">
      <x/>
    </i>
  </rowItems>
  <colItems count="1">
    <i/>
  </colItems>
  <dataFields count="1">
    <dataField name="Suma de Total_Users" fld="1" baseField="0" baseItem="0"/>
  </dataField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ECA6A1-3C91-4FA1-B01C-D53B873C93A6}" name="TablaDinámica6" cacheId="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6">
  <location ref="A1:B6" firstHeaderRow="1" firstDataRow="1" firstDataCol="1"/>
  <pivotFields count="3">
    <pivotField axis="axisRow" showAll="0">
      <items count="6">
        <item x="3"/>
        <item x="2"/>
        <item x="0"/>
        <item x="1"/>
        <item h="1" x="4"/>
        <item t="default"/>
      </items>
    </pivotField>
    <pivotField dataField="1" showAll="0"/>
    <pivotField showAll="0"/>
  </pivotFields>
  <rowFields count="1">
    <field x="0"/>
  </rowFields>
  <rowItems count="5">
    <i>
      <x/>
    </i>
    <i>
      <x v="1"/>
    </i>
    <i>
      <x v="2"/>
    </i>
    <i>
      <x v="3"/>
    </i>
    <i t="grand">
      <x/>
    </i>
  </rowItems>
  <colItems count="1">
    <i/>
  </colItems>
  <dataFields count="1">
    <dataField name="Suma de Total_Score" fld="1" baseField="0" baseItem="0"/>
  </dataFields>
  <chartFormats count="10">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0" count="1" selected="0">
            <x v="0"/>
          </reference>
        </references>
      </pivotArea>
    </chartFormat>
    <chartFormat chart="3" format="16">
      <pivotArea type="data" outline="0" fieldPosition="0">
        <references count="2">
          <reference field="4294967294" count="1" selected="0">
            <x v="0"/>
          </reference>
          <reference field="0" count="1" selected="0">
            <x v="1"/>
          </reference>
        </references>
      </pivotArea>
    </chartFormat>
    <chartFormat chart="3" format="17">
      <pivotArea type="data" outline="0" fieldPosition="0">
        <references count="2">
          <reference field="4294967294" count="1" selected="0">
            <x v="0"/>
          </reference>
          <reference field="0" count="1" selected="0">
            <x v="2"/>
          </reference>
        </references>
      </pivotArea>
    </chartFormat>
    <chartFormat chart="3" format="18">
      <pivotArea type="data" outline="0" fieldPosition="0">
        <references count="2">
          <reference field="4294967294" count="1" selected="0">
            <x v="0"/>
          </reference>
          <reference field="0" count="1" selected="0">
            <x v="3"/>
          </reference>
        </references>
      </pivotArea>
    </chartFormat>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0" count="1" selected="0">
            <x v="0"/>
          </reference>
        </references>
      </pivotArea>
    </chartFormat>
    <chartFormat chart="5" format="26">
      <pivotArea type="data" outline="0" fieldPosition="0">
        <references count="2">
          <reference field="4294967294" count="1" selected="0">
            <x v="0"/>
          </reference>
          <reference field="0" count="1" selected="0">
            <x v="1"/>
          </reference>
        </references>
      </pivotArea>
    </chartFormat>
    <chartFormat chart="5" format="27">
      <pivotArea type="data" outline="0" fieldPosition="0">
        <references count="2">
          <reference field="4294967294" count="1" selected="0">
            <x v="0"/>
          </reference>
          <reference field="0" count="1" selected="0">
            <x v="2"/>
          </reference>
        </references>
      </pivotArea>
    </chartFormat>
    <chartFormat chart="5" format="28">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0631CE-F93A-4EC9-89D8-15D302BD9114}" name="TablaDinámica3"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6">
  <location ref="A1:B5" firstHeaderRow="1" firstDataRow="1" firstDataCol="1"/>
  <pivotFields count="3">
    <pivotField axis="axisRow" showAll="0">
      <items count="5">
        <item x="2"/>
        <item x="1"/>
        <item x="0"/>
        <item h="1" x="3"/>
        <item t="default"/>
      </items>
    </pivotField>
    <pivotField dataField="1" showAll="0"/>
    <pivotField showAll="0"/>
  </pivotFields>
  <rowFields count="1">
    <field x="0"/>
  </rowFields>
  <rowItems count="4">
    <i>
      <x/>
    </i>
    <i>
      <x v="1"/>
    </i>
    <i>
      <x v="2"/>
    </i>
    <i t="grand">
      <x/>
    </i>
  </rowItems>
  <colItems count="1">
    <i/>
  </colItems>
  <dataFields count="1">
    <dataField name="Promedio de Total_Reactions" fld="1" subtotal="average" baseField="0" baseItem="9"/>
  </dataFields>
  <chartFormats count="4">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DD3D6-158A-489C-9B84-0C2DAC6B5811}">
  <dimension ref="A1:M50"/>
  <sheetViews>
    <sheetView showGridLines="0" tabSelected="1" zoomScale="60" zoomScaleNormal="60" workbookViewId="0">
      <selection activeCell="T11" sqref="T11"/>
    </sheetView>
  </sheetViews>
  <sheetFormatPr baseColWidth="10" defaultColWidth="11.33203125" defaultRowHeight="14.4" x14ac:dyDescent="0.3"/>
  <cols>
    <col min="1" max="13" width="13.88671875" customWidth="1"/>
  </cols>
  <sheetData>
    <row r="1" spans="1:13" x14ac:dyDescent="0.3">
      <c r="A1" s="8" t="s">
        <v>39</v>
      </c>
      <c r="B1" s="8"/>
      <c r="C1" s="8"/>
      <c r="D1" s="8"/>
      <c r="E1" s="8"/>
    </row>
    <row r="16" spans="1:13" ht="73.8" customHeight="1" x14ac:dyDescent="0.3">
      <c r="A16" s="7" t="s">
        <v>36</v>
      </c>
      <c r="B16" s="7"/>
      <c r="C16" s="7"/>
      <c r="D16" s="7"/>
      <c r="E16" s="7"/>
      <c r="F16" s="7"/>
      <c r="H16" s="7" t="s">
        <v>35</v>
      </c>
      <c r="I16" s="7"/>
      <c r="J16" s="7"/>
      <c r="K16" s="7"/>
      <c r="L16" s="7"/>
      <c r="M16" s="7"/>
    </row>
    <row r="33" spans="1:13" ht="147.6" customHeight="1" x14ac:dyDescent="0.3">
      <c r="A33" s="9" t="s">
        <v>38</v>
      </c>
      <c r="B33" s="9"/>
      <c r="C33" s="9"/>
      <c r="D33" s="9"/>
      <c r="E33" s="9"/>
      <c r="F33" s="9"/>
      <c r="H33" s="7" t="s">
        <v>40</v>
      </c>
      <c r="I33" s="7"/>
      <c r="J33" s="7"/>
      <c r="K33" s="7"/>
      <c r="L33" s="7"/>
      <c r="M33" s="7"/>
    </row>
    <row r="48" spans="1:13" x14ac:dyDescent="0.3">
      <c r="K48" s="5"/>
    </row>
    <row r="49" spans="11:11" x14ac:dyDescent="0.3">
      <c r="K49" s="5"/>
    </row>
    <row r="50" spans="11:11" x14ac:dyDescent="0.3">
      <c r="K50" s="5"/>
    </row>
  </sheetData>
  <mergeCells count="5">
    <mergeCell ref="A1:E1"/>
    <mergeCell ref="H16:M16"/>
    <mergeCell ref="A16:F16"/>
    <mergeCell ref="A33:F33"/>
    <mergeCell ref="H33:M3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458FC-7510-422D-B33C-276FD70B29D2}">
  <dimension ref="A1:B18"/>
  <sheetViews>
    <sheetView workbookViewId="0">
      <selection activeCell="L9" sqref="L9"/>
    </sheetView>
  </sheetViews>
  <sheetFormatPr baseColWidth="10" defaultRowHeight="14.4" x14ac:dyDescent="0.3"/>
  <cols>
    <col min="1" max="1" width="16.5546875" bestFit="1" customWidth="1"/>
    <col min="2" max="2" width="18.77734375" bestFit="1" customWidth="1"/>
  </cols>
  <sheetData>
    <row r="1" spans="1:2" x14ac:dyDescent="0.3">
      <c r="A1" s="1" t="s">
        <v>26</v>
      </c>
      <c r="B1" t="s">
        <v>28</v>
      </c>
    </row>
    <row r="2" spans="1:2" x14ac:dyDescent="0.3">
      <c r="A2" s="2" t="s">
        <v>2</v>
      </c>
      <c r="B2" s="3">
        <v>68624</v>
      </c>
    </row>
    <row r="3" spans="1:2" x14ac:dyDescent="0.3">
      <c r="A3" s="2" t="s">
        <v>3</v>
      </c>
      <c r="B3" s="3">
        <v>65405</v>
      </c>
    </row>
    <row r="4" spans="1:2" x14ac:dyDescent="0.3">
      <c r="A4" s="2" t="s">
        <v>4</v>
      </c>
      <c r="B4" s="3">
        <v>63138</v>
      </c>
    </row>
    <row r="5" spans="1:2" x14ac:dyDescent="0.3">
      <c r="A5" s="2" t="s">
        <v>5</v>
      </c>
      <c r="B5" s="3">
        <v>63035</v>
      </c>
    </row>
    <row r="6" spans="1:2" x14ac:dyDescent="0.3">
      <c r="A6" s="2" t="s">
        <v>6</v>
      </c>
      <c r="B6" s="3">
        <v>61598</v>
      </c>
    </row>
    <row r="7" spans="1:2" x14ac:dyDescent="0.3">
      <c r="A7" s="2" t="s">
        <v>7</v>
      </c>
      <c r="B7" s="3">
        <v>60663</v>
      </c>
    </row>
    <row r="8" spans="1:2" x14ac:dyDescent="0.3">
      <c r="A8" s="2" t="s">
        <v>8</v>
      </c>
      <c r="B8" s="3">
        <v>59358</v>
      </c>
    </row>
    <row r="9" spans="1:2" x14ac:dyDescent="0.3">
      <c r="A9" s="2" t="s">
        <v>9</v>
      </c>
      <c r="B9" s="3">
        <v>59174</v>
      </c>
    </row>
    <row r="10" spans="1:2" x14ac:dyDescent="0.3">
      <c r="A10" s="2" t="s">
        <v>10</v>
      </c>
      <c r="B10" s="3">
        <v>53216</v>
      </c>
    </row>
    <row r="11" spans="1:2" x14ac:dyDescent="0.3">
      <c r="A11" s="2" t="s">
        <v>11</v>
      </c>
      <c r="B11" s="3">
        <v>52759</v>
      </c>
    </row>
    <row r="12" spans="1:2" x14ac:dyDescent="0.3">
      <c r="A12" s="2" t="s">
        <v>12</v>
      </c>
      <c r="B12" s="3">
        <v>50835</v>
      </c>
    </row>
    <row r="13" spans="1:2" x14ac:dyDescent="0.3">
      <c r="A13" s="2" t="s">
        <v>13</v>
      </c>
      <c r="B13" s="3">
        <v>49442</v>
      </c>
    </row>
    <row r="14" spans="1:2" x14ac:dyDescent="0.3">
      <c r="A14" s="2" t="s">
        <v>14</v>
      </c>
      <c r="B14" s="3">
        <v>48398</v>
      </c>
    </row>
    <row r="15" spans="1:2" x14ac:dyDescent="0.3">
      <c r="A15" s="2" t="s">
        <v>15</v>
      </c>
      <c r="B15" s="3">
        <v>46185</v>
      </c>
    </row>
    <row r="16" spans="1:2" x14ac:dyDescent="0.3">
      <c r="A16" s="2" t="s">
        <v>16</v>
      </c>
      <c r="B16" s="3">
        <v>45901</v>
      </c>
    </row>
    <row r="17" spans="1:2" x14ac:dyDescent="0.3">
      <c r="A17" s="2" t="s">
        <v>17</v>
      </c>
      <c r="B17" s="3">
        <v>45751</v>
      </c>
    </row>
    <row r="18" spans="1:2" x14ac:dyDescent="0.3">
      <c r="A18" s="2" t="s">
        <v>27</v>
      </c>
      <c r="B18" s="3">
        <v>893482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ECF05-CBEF-41CA-B962-F09E268E3E2C}">
  <dimension ref="A1:C17"/>
  <sheetViews>
    <sheetView workbookViewId="0">
      <selection activeCell="D9" sqref="D9"/>
    </sheetView>
  </sheetViews>
  <sheetFormatPr baseColWidth="10" defaultRowHeight="14.4" x14ac:dyDescent="0.3"/>
  <cols>
    <col min="1" max="1" width="13.21875" bestFit="1" customWidth="1"/>
  </cols>
  <sheetData>
    <row r="1" spans="1:3" x14ac:dyDescent="0.3">
      <c r="A1" s="4" t="s">
        <v>0</v>
      </c>
      <c r="B1" s="4" t="s">
        <v>1</v>
      </c>
      <c r="C1" s="6"/>
    </row>
    <row r="2" spans="1:3" x14ac:dyDescent="0.3">
      <c r="A2" t="s">
        <v>2</v>
      </c>
      <c r="B2">
        <v>68624</v>
      </c>
    </row>
    <row r="3" spans="1:3" x14ac:dyDescent="0.3">
      <c r="A3" t="s">
        <v>3</v>
      </c>
      <c r="B3">
        <v>65405</v>
      </c>
    </row>
    <row r="4" spans="1:3" x14ac:dyDescent="0.3">
      <c r="A4" t="s">
        <v>4</v>
      </c>
      <c r="B4">
        <v>63138</v>
      </c>
    </row>
    <row r="5" spans="1:3" x14ac:dyDescent="0.3">
      <c r="A5" t="s">
        <v>5</v>
      </c>
      <c r="B5">
        <v>63035</v>
      </c>
    </row>
    <row r="6" spans="1:3" x14ac:dyDescent="0.3">
      <c r="A6" t="s">
        <v>6</v>
      </c>
      <c r="B6">
        <v>61598</v>
      </c>
    </row>
    <row r="7" spans="1:3" x14ac:dyDescent="0.3">
      <c r="A7" t="s">
        <v>7</v>
      </c>
      <c r="B7">
        <v>60663</v>
      </c>
    </row>
    <row r="8" spans="1:3" x14ac:dyDescent="0.3">
      <c r="A8" t="s">
        <v>8</v>
      </c>
      <c r="B8">
        <v>59358</v>
      </c>
    </row>
    <row r="9" spans="1:3" x14ac:dyDescent="0.3">
      <c r="A9" t="s">
        <v>9</v>
      </c>
      <c r="B9">
        <v>59174</v>
      </c>
    </row>
    <row r="10" spans="1:3" x14ac:dyDescent="0.3">
      <c r="A10" t="s">
        <v>10</v>
      </c>
      <c r="B10">
        <v>53216</v>
      </c>
    </row>
    <row r="11" spans="1:3" x14ac:dyDescent="0.3">
      <c r="A11" t="s">
        <v>11</v>
      </c>
      <c r="B11">
        <v>52759</v>
      </c>
    </row>
    <row r="12" spans="1:3" x14ac:dyDescent="0.3">
      <c r="A12" t="s">
        <v>12</v>
      </c>
      <c r="B12">
        <v>50835</v>
      </c>
    </row>
    <row r="13" spans="1:3" x14ac:dyDescent="0.3">
      <c r="A13" t="s">
        <v>13</v>
      </c>
      <c r="B13">
        <v>49442</v>
      </c>
    </row>
    <row r="14" spans="1:3" x14ac:dyDescent="0.3">
      <c r="A14" t="s">
        <v>14</v>
      </c>
      <c r="B14">
        <v>48398</v>
      </c>
    </row>
    <row r="15" spans="1:3" x14ac:dyDescent="0.3">
      <c r="A15" t="s">
        <v>15</v>
      </c>
      <c r="B15">
        <v>46185</v>
      </c>
    </row>
    <row r="16" spans="1:3" x14ac:dyDescent="0.3">
      <c r="A16" t="s">
        <v>16</v>
      </c>
      <c r="B16">
        <v>45901</v>
      </c>
    </row>
    <row r="17" spans="1:2" x14ac:dyDescent="0.3">
      <c r="A17" t="s">
        <v>17</v>
      </c>
      <c r="B17">
        <v>45751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D8EE6-426F-4788-B828-E897B95B1449}">
  <dimension ref="A1:B18"/>
  <sheetViews>
    <sheetView workbookViewId="0">
      <selection activeCell="G18" sqref="G18"/>
    </sheetView>
  </sheetViews>
  <sheetFormatPr baseColWidth="10" defaultRowHeight="14.4" x14ac:dyDescent="0.3"/>
  <cols>
    <col min="1" max="1" width="16.5546875" bestFit="1" customWidth="1"/>
    <col min="2" max="2" width="18.6640625" bestFit="1" customWidth="1"/>
  </cols>
  <sheetData>
    <row r="1" spans="1:2" x14ac:dyDescent="0.3">
      <c r="A1" s="1" t="s">
        <v>26</v>
      </c>
      <c r="B1" t="s">
        <v>37</v>
      </c>
    </row>
    <row r="2" spans="1:2" x14ac:dyDescent="0.3">
      <c r="A2" s="2" t="s">
        <v>6</v>
      </c>
      <c r="B2" s="3">
        <v>43</v>
      </c>
    </row>
    <row r="3" spans="1:2" x14ac:dyDescent="0.3">
      <c r="A3" s="2" t="s">
        <v>10</v>
      </c>
      <c r="B3" s="3">
        <v>39</v>
      </c>
    </row>
    <row r="4" spans="1:2" x14ac:dyDescent="0.3">
      <c r="A4" s="2" t="s">
        <v>17</v>
      </c>
      <c r="B4" s="3">
        <v>35</v>
      </c>
    </row>
    <row r="5" spans="1:2" x14ac:dyDescent="0.3">
      <c r="A5" s="2" t="s">
        <v>2</v>
      </c>
      <c r="B5" s="3">
        <v>35</v>
      </c>
    </row>
    <row r="6" spans="1:2" x14ac:dyDescent="0.3">
      <c r="A6" s="2" t="s">
        <v>9</v>
      </c>
      <c r="B6" s="3">
        <v>33</v>
      </c>
    </row>
    <row r="7" spans="1:2" x14ac:dyDescent="0.3">
      <c r="A7" s="2" t="s">
        <v>14</v>
      </c>
      <c r="B7" s="3">
        <v>33</v>
      </c>
    </row>
    <row r="8" spans="1:2" x14ac:dyDescent="0.3">
      <c r="A8" s="2" t="s">
        <v>11</v>
      </c>
      <c r="B8" s="3">
        <v>32</v>
      </c>
    </row>
    <row r="9" spans="1:2" x14ac:dyDescent="0.3">
      <c r="A9" s="2" t="s">
        <v>3</v>
      </c>
      <c r="B9" s="3">
        <v>31</v>
      </c>
    </row>
    <row r="10" spans="1:2" x14ac:dyDescent="0.3">
      <c r="A10" s="2" t="s">
        <v>16</v>
      </c>
      <c r="B10" s="3">
        <v>30</v>
      </c>
    </row>
    <row r="11" spans="1:2" x14ac:dyDescent="0.3">
      <c r="A11" s="2" t="s">
        <v>13</v>
      </c>
      <c r="B11" s="3">
        <v>29</v>
      </c>
    </row>
    <row r="12" spans="1:2" x14ac:dyDescent="0.3">
      <c r="A12" s="2" t="s">
        <v>4</v>
      </c>
      <c r="B12" s="3">
        <v>29</v>
      </c>
    </row>
    <row r="13" spans="1:2" x14ac:dyDescent="0.3">
      <c r="A13" s="2" t="s">
        <v>8</v>
      </c>
      <c r="B13" s="3">
        <v>27</v>
      </c>
    </row>
    <row r="14" spans="1:2" x14ac:dyDescent="0.3">
      <c r="A14" s="2" t="s">
        <v>15</v>
      </c>
      <c r="B14" s="3">
        <v>27</v>
      </c>
    </row>
    <row r="15" spans="1:2" x14ac:dyDescent="0.3">
      <c r="A15" s="2" t="s">
        <v>12</v>
      </c>
      <c r="B15" s="3">
        <v>25</v>
      </c>
    </row>
    <row r="16" spans="1:2" x14ac:dyDescent="0.3">
      <c r="A16" s="2" t="s">
        <v>7</v>
      </c>
      <c r="B16" s="3">
        <v>22</v>
      </c>
    </row>
    <row r="17" spans="1:2" x14ac:dyDescent="0.3">
      <c r="A17" s="2" t="s">
        <v>5</v>
      </c>
      <c r="B17" s="3">
        <v>21</v>
      </c>
    </row>
    <row r="18" spans="1:2" x14ac:dyDescent="0.3">
      <c r="A18" s="2" t="s">
        <v>27</v>
      </c>
      <c r="B18" s="3">
        <v>491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12329-00C8-4272-B285-7CB5FBC4927D}">
  <dimension ref="A1:B17"/>
  <sheetViews>
    <sheetView workbookViewId="0">
      <selection sqref="A1:B1"/>
    </sheetView>
  </sheetViews>
  <sheetFormatPr baseColWidth="10" defaultRowHeight="14.4" x14ac:dyDescent="0.3"/>
  <cols>
    <col min="1" max="2" width="21" customWidth="1"/>
  </cols>
  <sheetData>
    <row r="1" spans="1:2" x14ac:dyDescent="0.3">
      <c r="A1" s="4" t="s">
        <v>18</v>
      </c>
      <c r="B1" s="4" t="s">
        <v>19</v>
      </c>
    </row>
    <row r="2" spans="1:2" x14ac:dyDescent="0.3">
      <c r="A2" t="s">
        <v>6</v>
      </c>
      <c r="B2">
        <v>43</v>
      </c>
    </row>
    <row r="3" spans="1:2" x14ac:dyDescent="0.3">
      <c r="A3" t="s">
        <v>10</v>
      </c>
      <c r="B3">
        <v>39</v>
      </c>
    </row>
    <row r="4" spans="1:2" x14ac:dyDescent="0.3">
      <c r="A4" t="s">
        <v>17</v>
      </c>
      <c r="B4">
        <v>35</v>
      </c>
    </row>
    <row r="5" spans="1:2" x14ac:dyDescent="0.3">
      <c r="A5" t="s">
        <v>2</v>
      </c>
      <c r="B5">
        <v>35</v>
      </c>
    </row>
    <row r="6" spans="1:2" x14ac:dyDescent="0.3">
      <c r="A6" t="s">
        <v>9</v>
      </c>
      <c r="B6">
        <v>33</v>
      </c>
    </row>
    <row r="7" spans="1:2" x14ac:dyDescent="0.3">
      <c r="A7" t="s">
        <v>14</v>
      </c>
      <c r="B7">
        <v>33</v>
      </c>
    </row>
    <row r="8" spans="1:2" x14ac:dyDescent="0.3">
      <c r="A8" t="s">
        <v>11</v>
      </c>
      <c r="B8">
        <v>32</v>
      </c>
    </row>
    <row r="9" spans="1:2" x14ac:dyDescent="0.3">
      <c r="A9" t="s">
        <v>3</v>
      </c>
      <c r="B9">
        <v>31</v>
      </c>
    </row>
    <row r="10" spans="1:2" x14ac:dyDescent="0.3">
      <c r="A10" t="s">
        <v>16</v>
      </c>
      <c r="B10">
        <v>30</v>
      </c>
    </row>
    <row r="11" spans="1:2" x14ac:dyDescent="0.3">
      <c r="A11" t="s">
        <v>13</v>
      </c>
      <c r="B11">
        <v>29</v>
      </c>
    </row>
    <row r="12" spans="1:2" x14ac:dyDescent="0.3">
      <c r="A12" t="s">
        <v>4</v>
      </c>
      <c r="B12">
        <v>29</v>
      </c>
    </row>
    <row r="13" spans="1:2" x14ac:dyDescent="0.3">
      <c r="A13" t="s">
        <v>15</v>
      </c>
      <c r="B13">
        <v>27</v>
      </c>
    </row>
    <row r="14" spans="1:2" x14ac:dyDescent="0.3">
      <c r="A14" t="s">
        <v>8</v>
      </c>
      <c r="B14">
        <v>27</v>
      </c>
    </row>
    <row r="15" spans="1:2" x14ac:dyDescent="0.3">
      <c r="A15" t="s">
        <v>12</v>
      </c>
      <c r="B15">
        <v>25</v>
      </c>
    </row>
    <row r="16" spans="1:2" x14ac:dyDescent="0.3">
      <c r="A16" t="s">
        <v>7</v>
      </c>
      <c r="B16">
        <v>22</v>
      </c>
    </row>
    <row r="17" spans="1:2" x14ac:dyDescent="0.3">
      <c r="A17" t="s">
        <v>5</v>
      </c>
      <c r="B17">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CA34-2CB4-48D4-95AF-7BFC9AB46602}">
  <dimension ref="A1:B6"/>
  <sheetViews>
    <sheetView workbookViewId="0">
      <selection activeCell="L8" sqref="L8"/>
    </sheetView>
  </sheetViews>
  <sheetFormatPr baseColWidth="10" defaultRowHeight="14.4" x14ac:dyDescent="0.3"/>
  <cols>
    <col min="1" max="1" width="16.5546875" bestFit="1" customWidth="1"/>
    <col min="2" max="2" width="18.77734375" bestFit="1" customWidth="1"/>
    <col min="3" max="5" width="7" bestFit="1" customWidth="1"/>
    <col min="6" max="6" width="10.5546875" bestFit="1" customWidth="1"/>
    <col min="7" max="7" width="11.88671875" bestFit="1" customWidth="1"/>
  </cols>
  <sheetData>
    <row r="1" spans="1:2" x14ac:dyDescent="0.3">
      <c r="A1" s="1" t="s">
        <v>26</v>
      </c>
      <c r="B1" t="s">
        <v>28</v>
      </c>
    </row>
    <row r="2" spans="1:2" x14ac:dyDescent="0.3">
      <c r="A2" s="2" t="s">
        <v>25</v>
      </c>
      <c r="B2" s="3">
        <v>207911</v>
      </c>
    </row>
    <row r="3" spans="1:2" x14ac:dyDescent="0.3">
      <c r="A3" s="2" t="s">
        <v>24</v>
      </c>
      <c r="B3" s="3">
        <v>218922</v>
      </c>
    </row>
    <row r="4" spans="1:2" x14ac:dyDescent="0.3">
      <c r="A4" s="2" t="s">
        <v>22</v>
      </c>
      <c r="B4" s="3">
        <v>241090</v>
      </c>
    </row>
    <row r="5" spans="1:2" x14ac:dyDescent="0.3">
      <c r="A5" s="2" t="s">
        <v>23</v>
      </c>
      <c r="B5" s="3">
        <v>225559</v>
      </c>
    </row>
    <row r="6" spans="1:2" x14ac:dyDescent="0.3">
      <c r="A6" s="2" t="s">
        <v>27</v>
      </c>
      <c r="B6" s="3">
        <v>893482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FFF77-E8BD-40D4-9D1D-2A8B6C582548}">
  <dimension ref="A1:C5"/>
  <sheetViews>
    <sheetView workbookViewId="0">
      <selection activeCell="C1" sqref="C1"/>
    </sheetView>
  </sheetViews>
  <sheetFormatPr baseColWidth="10" defaultRowHeight="14.4" x14ac:dyDescent="0.3"/>
  <cols>
    <col min="1" max="1" width="12.44140625" bestFit="1" customWidth="1"/>
    <col min="2" max="2" width="10.77734375" bestFit="1" customWidth="1"/>
    <col min="3" max="3" width="19.44140625" bestFit="1" customWidth="1"/>
  </cols>
  <sheetData>
    <row r="1" spans="1:3" x14ac:dyDescent="0.3">
      <c r="A1" s="4" t="s">
        <v>20</v>
      </c>
      <c r="B1" s="4" t="s">
        <v>1</v>
      </c>
      <c r="C1" s="4" t="s">
        <v>21</v>
      </c>
    </row>
    <row r="2" spans="1:3" x14ac:dyDescent="0.3">
      <c r="A2" t="s">
        <v>22</v>
      </c>
      <c r="B2">
        <v>241090</v>
      </c>
      <c r="C2">
        <v>6043</v>
      </c>
    </row>
    <row r="3" spans="1:3" x14ac:dyDescent="0.3">
      <c r="A3" t="s">
        <v>23</v>
      </c>
      <c r="B3">
        <v>225559</v>
      </c>
      <c r="C3">
        <v>5728</v>
      </c>
    </row>
    <row r="4" spans="1:3" x14ac:dyDescent="0.3">
      <c r="A4" t="s">
        <v>24</v>
      </c>
      <c r="B4">
        <v>218922</v>
      </c>
      <c r="C4">
        <v>5578</v>
      </c>
    </row>
    <row r="5" spans="1:3" x14ac:dyDescent="0.3">
      <c r="A5" t="s">
        <v>25</v>
      </c>
      <c r="B5">
        <v>207911</v>
      </c>
      <c r="C5">
        <v>5185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A42B-4A0F-48D8-8343-7C3419979E6E}">
  <dimension ref="A1:B5"/>
  <sheetViews>
    <sheetView workbookViewId="0">
      <selection activeCell="O12" sqref="O12"/>
    </sheetView>
  </sheetViews>
  <sheetFormatPr baseColWidth="10" defaultRowHeight="14.4" x14ac:dyDescent="0.3"/>
  <cols>
    <col min="1" max="1" width="16.5546875" bestFit="1" customWidth="1"/>
    <col min="2" max="2" width="25.77734375" bestFit="1" customWidth="1"/>
  </cols>
  <sheetData>
    <row r="1" spans="1:2" x14ac:dyDescent="0.3">
      <c r="A1" s="1" t="s">
        <v>26</v>
      </c>
      <c r="B1" t="s">
        <v>34</v>
      </c>
    </row>
    <row r="2" spans="1:2" x14ac:dyDescent="0.3">
      <c r="A2" s="2" t="s">
        <v>33</v>
      </c>
      <c r="B2" s="3">
        <v>7037</v>
      </c>
    </row>
    <row r="3" spans="1:2" x14ac:dyDescent="0.3">
      <c r="A3" s="2" t="s">
        <v>32</v>
      </c>
      <c r="B3" s="3">
        <v>2823</v>
      </c>
    </row>
    <row r="4" spans="1:2" x14ac:dyDescent="0.3">
      <c r="A4" s="2" t="s">
        <v>31</v>
      </c>
      <c r="B4" s="3">
        <v>12674</v>
      </c>
    </row>
    <row r="5" spans="1:2" x14ac:dyDescent="0.3">
      <c r="A5" s="2" t="s">
        <v>27</v>
      </c>
      <c r="B5" s="3">
        <v>7511.333333333333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85B44-FC92-4292-B5FD-EDA82980F92B}">
  <dimension ref="A1:C4"/>
  <sheetViews>
    <sheetView workbookViewId="0">
      <selection sqref="A1:C1"/>
    </sheetView>
  </sheetViews>
  <sheetFormatPr baseColWidth="10" defaultRowHeight="14.4" x14ac:dyDescent="0.3"/>
  <sheetData>
    <row r="1" spans="1:3" x14ac:dyDescent="0.3">
      <c r="A1" s="4" t="s">
        <v>29</v>
      </c>
      <c r="B1" s="4" t="s">
        <v>30</v>
      </c>
      <c r="C1" s="4" t="s">
        <v>1</v>
      </c>
    </row>
    <row r="2" spans="1:3" x14ac:dyDescent="0.3">
      <c r="A2" t="s">
        <v>31</v>
      </c>
      <c r="B2">
        <v>12674</v>
      </c>
      <c r="C2">
        <v>756304</v>
      </c>
    </row>
    <row r="3" spans="1:3" x14ac:dyDescent="0.3">
      <c r="A3" t="s">
        <v>32</v>
      </c>
      <c r="B3">
        <v>2823</v>
      </c>
      <c r="C3">
        <v>78030</v>
      </c>
    </row>
    <row r="4" spans="1:3" x14ac:dyDescent="0.3">
      <c r="A4" t="s">
        <v>33</v>
      </c>
      <c r="B4">
        <v>7037</v>
      </c>
      <c r="C4">
        <v>59148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Gráficas</vt:lpstr>
      <vt:lpstr>gráfica A</vt:lpstr>
      <vt:lpstr>consulta A</vt:lpstr>
      <vt:lpstr>Hoja11</vt:lpstr>
      <vt:lpstr>consulta B</vt:lpstr>
      <vt:lpstr>grafica consulta C</vt:lpstr>
      <vt:lpstr>consulta C</vt:lpstr>
      <vt:lpstr>grafica D</vt:lpstr>
      <vt:lpstr>consulta 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Fernandez</dc:creator>
  <cp:lastModifiedBy>Paula Fernandez</cp:lastModifiedBy>
  <dcterms:created xsi:type="dcterms:W3CDTF">2026-02-22T12:44:40Z</dcterms:created>
  <dcterms:modified xsi:type="dcterms:W3CDTF">2026-03-14T17:36:41Z</dcterms:modified>
</cp:coreProperties>
</file>